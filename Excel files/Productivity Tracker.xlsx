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Road to becoming VA\Calender management\"/>
    </mc:Choice>
  </mc:AlternateContent>
  <xr:revisionPtr revIDLastSave="0" documentId="13_ncr:1_{A55EF3C5-8756-4B11-B0EC-FC79B19250E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roductivity track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G7" i="1"/>
  <c r="G8" i="1"/>
  <c r="G9" i="1"/>
  <c r="G10" i="1"/>
  <c r="G6" i="1"/>
</calcChain>
</file>

<file path=xl/sharedStrings.xml><?xml version="1.0" encoding="utf-8"?>
<sst xmlns="http://schemas.openxmlformats.org/spreadsheetml/2006/main" count="8" uniqueCount="8">
  <si>
    <t>Productivity Tracker</t>
  </si>
  <si>
    <t>Date</t>
  </si>
  <si>
    <t>Tasks completed</t>
  </si>
  <si>
    <t>Meetings</t>
  </si>
  <si>
    <t>Emails Answered</t>
  </si>
  <si>
    <t>Focus Hours</t>
  </si>
  <si>
    <t>Productivity Score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</si>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</sst>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3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Algerian"/>
      <family val="5"/>
    </font>
    <font>
      <sz val="16"/>
      <color theme="1"/>
      <name val="Amasis MT Pro Black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3" fontId="0" fillId="0" borderId="0" xfId="1" applyFont="1"/>
    <xf numFmtId="173" fontId="0" fillId="0" borderId="0" xfId="1" applyNumberFormat="1" applyFont="1"/>
    <xf numFmtId="43" fontId="0" fillId="0" borderId="3" xfId="1" applyFont="1" applyBorder="1" applyAlignment="1">
      <alignment horizontal="center"/>
    </xf>
    <xf numFmtId="9" fontId="0" fillId="0" borderId="3" xfId="2" applyFont="1" applyBorder="1" applyAlignment="1">
      <alignment horizontal="center" vertical="top"/>
    </xf>
    <xf numFmtId="43" fontId="0" fillId="0" borderId="9" xfId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masis MT Pro Black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653668-56D1-4139-A08D-ACCB812F325F}" name="Table1" displayName="Table1" ref="B5:H15" totalsRowShown="0" headerRowDxfId="13" dataDxfId="12" headerRowBorderDxfId="10" tableBorderDxfId="11" totalsRowBorderDxfId="9">
  <tableColumns count="7">
    <tableColumn id="1" xr3:uid="{F631F298-AA8A-47B3-B470-78C29BFE9697}" name="Date" dataDxfId="17"/>
    <tableColumn id="2" xr3:uid="{5704B511-ADBA-4F35-B500-B6E5583B34F4}" name="Tasks completed" dataDxfId="16"/>
    <tableColumn id="3" xr3:uid="{7794638B-96CB-42F2-B195-F1B122C02E0D}" name="Meetings" dataDxfId="15"/>
    <tableColumn id="4" xr3:uid="{E4C202EF-1669-4E5E-A433-0894FD4DEA5E}" name="Emails Answered" dataDxfId="14"/>
    <tableColumn id="5" xr3:uid="{06232060-2ECC-4085-B862-FE2D6CDBB2E2}" name="Focus Hours" dataDxfId="8"/>
    <tableColumn id="6" xr3:uid="{C0811E6B-5423-43E2-B99F-1E5252DAD1AE}" name="Productivity Score" dataDxfId="7" dataCellStyle="Comma"/>
    <tableColumn id="7" xr3:uid="{40187C94-9DCD-4AD3-AFFF-6B8D1DF2AC18}" name="Status" dataDxfId="6">
      <calculatedColumnFormula>IF(Table1[[#This Row],[Productivity Score]]&gt;= 90%,"Excellent",IF(Table1[[#This Row],[Productivity Score]]&gt;=80%,"Good","Needs Improvement"))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5"/>
  <sheetViews>
    <sheetView tabSelected="1" workbookViewId="0">
      <selection activeCell="M9" sqref="M9"/>
    </sheetView>
  </sheetViews>
  <sheetFormatPr defaultRowHeight="14.5" x14ac:dyDescent="0.35"/>
  <cols>
    <col min="2" max="2" width="8" bestFit="1" customWidth="1"/>
    <col min="3" max="3" width="26.26953125" bestFit="1" customWidth="1"/>
    <col min="4" max="4" width="14.7265625" bestFit="1" customWidth="1"/>
    <col min="5" max="5" width="26.90625" bestFit="1" customWidth="1"/>
    <col min="6" max="6" width="19.6328125" bestFit="1" customWidth="1"/>
    <col min="7" max="7" width="28.90625" bestFit="1" customWidth="1"/>
    <col min="8" max="8" width="24.54296875" customWidth="1"/>
  </cols>
  <sheetData>
    <row r="2" spans="2:10" ht="14.5" customHeight="1" x14ac:dyDescent="0.35">
      <c r="B2" s="1" t="s">
        <v>0</v>
      </c>
      <c r="C2" s="1"/>
      <c r="D2" s="1"/>
      <c r="E2" s="1"/>
      <c r="F2" s="1"/>
      <c r="G2" s="1"/>
    </row>
    <row r="3" spans="2:10" ht="14.5" customHeight="1" x14ac:dyDescent="0.35">
      <c r="B3" s="1"/>
      <c r="C3" s="1"/>
      <c r="D3" s="1"/>
      <c r="E3" s="1"/>
      <c r="F3" s="1"/>
      <c r="G3" s="1"/>
    </row>
    <row r="5" spans="2:10" ht="21.5" x14ac:dyDescent="0.55000000000000004">
      <c r="B5" s="8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10" t="s">
        <v>6</v>
      </c>
      <c r="H5" s="9" t="s">
        <v>7</v>
      </c>
    </row>
    <row r="6" spans="2:10" x14ac:dyDescent="0.35">
      <c r="B6" s="4">
        <v>46204</v>
      </c>
      <c r="C6" s="2">
        <v>9</v>
      </c>
      <c r="D6" s="2">
        <v>2</v>
      </c>
      <c r="E6" s="2">
        <v>34</v>
      </c>
      <c r="F6" s="2">
        <v>5.5</v>
      </c>
      <c r="G6" s="14">
        <f>Table1[[#This Row],[Tasks completed]]/10*50%+Table1[[#This Row],[Emails Answered]]/40*20%+Table1[[#This Row],[Focus Hours]]/8*30%</f>
        <v>0.82624999999999993</v>
      </c>
      <c r="H6" s="5" t="str">
        <f>IF(Table1[[#This Row],[Productivity Score]]&gt;= 90%,"Excellent",IF(Table1[[#This Row],[Productivity Score]]&gt;=80%,"Good","Needs Improvement"))</f>
        <v>Good</v>
      </c>
      <c r="I6" s="11"/>
    </row>
    <row r="7" spans="2:10" x14ac:dyDescent="0.35">
      <c r="B7" s="4">
        <v>46205</v>
      </c>
      <c r="C7" s="2">
        <v>8</v>
      </c>
      <c r="D7" s="2">
        <v>3</v>
      </c>
      <c r="E7" s="2">
        <v>27</v>
      </c>
      <c r="F7" s="2">
        <v>5</v>
      </c>
      <c r="G7" s="14">
        <f>Table1[[#This Row],[Tasks completed]]/10*50%+Table1[[#This Row],[Emails Answered]]/40*20%+Table1[[#This Row],[Focus Hours]]/8*30%</f>
        <v>0.72250000000000003</v>
      </c>
      <c r="H7" s="2" t="str">
        <f>IF(Table1[[#This Row],[Productivity Score]]&gt;= 90%,"Excellent",IF(Table1[[#This Row],[Productivity Score]]&gt;=80%,"Good","Needs Improvement"))</f>
        <v>Needs Improvement</v>
      </c>
    </row>
    <row r="8" spans="2:10" x14ac:dyDescent="0.35">
      <c r="B8" s="4">
        <v>46206</v>
      </c>
      <c r="C8" s="2">
        <v>10</v>
      </c>
      <c r="D8" s="2">
        <v>1</v>
      </c>
      <c r="E8" s="2">
        <v>41</v>
      </c>
      <c r="F8" s="2">
        <v>6</v>
      </c>
      <c r="G8" s="14">
        <f>Table1[[#This Row],[Tasks completed]]/10*50%+Table1[[#This Row],[Emails Answered]]/40*20%+Table1[[#This Row],[Focus Hours]]/8*30%</f>
        <v>0.92999999999999994</v>
      </c>
      <c r="H8" s="2" t="str">
        <f>IF(Table1[[#This Row],[Productivity Score]]&gt;= 90%,"Excellent",IF(Table1[[#This Row],[Productivity Score]]&gt;=80%,"Good","Needs Improvement"))</f>
        <v>Excellent</v>
      </c>
    </row>
    <row r="9" spans="2:10" x14ac:dyDescent="0.35">
      <c r="B9" s="4">
        <v>46207</v>
      </c>
      <c r="C9" s="2">
        <v>7</v>
      </c>
      <c r="D9" s="2">
        <v>4</v>
      </c>
      <c r="E9" s="2">
        <v>29</v>
      </c>
      <c r="F9" s="2">
        <v>4.5</v>
      </c>
      <c r="G9" s="14">
        <f>Table1[[#This Row],[Tasks completed]]/10*50%+Table1[[#This Row],[Emails Answered]]/40*20%+Table1[[#This Row],[Focus Hours]]/8*30%</f>
        <v>0.66374999999999995</v>
      </c>
      <c r="H9" s="2" t="str">
        <f>IF(Table1[[#This Row],[Productivity Score]]&gt;= 90%,"Excellent",IF(Table1[[#This Row],[Productivity Score]]&gt;=80%,"Good","Needs Improvement"))</f>
        <v>Needs Improvement</v>
      </c>
      <c r="I9" s="12"/>
      <c r="J9" s="11"/>
    </row>
    <row r="10" spans="2:10" x14ac:dyDescent="0.35">
      <c r="B10" s="4">
        <v>46208</v>
      </c>
      <c r="C10" s="2">
        <v>11</v>
      </c>
      <c r="D10" s="2">
        <v>2</v>
      </c>
      <c r="E10" s="2">
        <v>37</v>
      </c>
      <c r="F10" s="2">
        <v>6.5</v>
      </c>
      <c r="G10" s="14">
        <f>Table1[[#This Row],[Tasks completed]]/10*50%+Table1[[#This Row],[Emails Answered]]/40*20%+Table1[[#This Row],[Focus Hours]]/8*30%</f>
        <v>0.97875000000000012</v>
      </c>
      <c r="H10" s="2" t="str">
        <f>IF(Table1[[#This Row],[Productivity Score]]&gt;= 90%,"Excellent",IF(Table1[[#This Row],[Productivity Score]]&gt;=80%,"Good","Needs Improvement"))</f>
        <v>Excellent</v>
      </c>
    </row>
    <row r="11" spans="2:10" x14ac:dyDescent="0.35">
      <c r="B11" s="3"/>
      <c r="C11" s="2"/>
      <c r="D11" s="2"/>
      <c r="E11" s="2"/>
      <c r="F11" s="2"/>
      <c r="G11" s="13"/>
      <c r="H11" s="2"/>
    </row>
    <row r="12" spans="2:10" x14ac:dyDescent="0.35">
      <c r="B12" s="3"/>
      <c r="C12" s="2"/>
      <c r="D12" s="2"/>
      <c r="E12" s="2"/>
      <c r="F12" s="2"/>
      <c r="G12" s="13"/>
      <c r="H12" s="2"/>
    </row>
    <row r="13" spans="2:10" x14ac:dyDescent="0.35">
      <c r="B13" s="3"/>
      <c r="C13" s="2"/>
      <c r="D13" s="2"/>
      <c r="E13" s="2"/>
      <c r="F13" s="2"/>
      <c r="G13" s="13"/>
      <c r="H13" s="2"/>
    </row>
    <row r="14" spans="2:10" x14ac:dyDescent="0.35">
      <c r="B14" s="3"/>
      <c r="C14" s="2"/>
      <c r="D14" s="2"/>
      <c r="E14" s="2"/>
      <c r="F14" s="2"/>
      <c r="G14" s="13"/>
      <c r="H14" s="2"/>
    </row>
    <row r="15" spans="2:10" x14ac:dyDescent="0.35">
      <c r="B15" s="6"/>
      <c r="C15" s="7"/>
      <c r="D15" s="7"/>
      <c r="E15" s="7"/>
      <c r="F15" s="7"/>
      <c r="G15" s="15"/>
      <c r="H15" s="7"/>
    </row>
  </sheetData>
  <mergeCells count="1">
    <mergeCell ref="B2:G3"/>
  </mergeCells>
  <conditionalFormatting sqref="G6:G1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{13ED5DD8-CC55-444D-A301-A877FA0A34F5}</x14:id>
        </ext>
      </extLst>
    </cfRule>
  </conditionalFormatting>
  <conditionalFormatting sqref="C6:C1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{0120EB61-AA33-49FC-BF91-B6FB8DC43CAD}</x14:id>
        </ext>
      </extLst>
    </cfRule>
  </conditionalFormatting>
  <conditionalFormatting sqref="F6:F15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{5CE2E015-0C81-4D55-AA62-2EC6A63AD3FF}</x14:id>
        </ext>
      </extLst>
    </cfRule>
  </conditionalFormatting>
  <conditionalFormatting sqref="E6:E15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{8CF8850A-3D33-4E8C-9AC3-019002B8B04F}</x14:id>
        </ext>
      </extLst>
    </cfRule>
  </conditionalFormatting>
  <conditionalFormatting sqref="H6:H15">
    <cfRule type="cellIs" dxfId="0" priority="3" operator="equal">
      <formula>"Good"</formula>
    </cfRule>
    <cfRule type="cellIs" dxfId="1" priority="2" operator="equal">
      <formula>"Needs Improvement"</formula>
    </cfRule>
    <cfRule type="cellIs" dxfId="2" priority="1" operator="equal">
      <formula>"Excellent"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ED5DD8-CC55-444D-A301-A877FA0A34F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G6:G15</xm:sqref>
        </x14:conditionalFormatting>
        <x14:conditionalFormatting xmlns:xm="http://schemas.microsoft.com/office/excel/2006/main">
          <x14:cfRule type="dataBar" id="{0120EB61-AA33-49FC-BF91-B6FB8DC43C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C6:C10</xm:sqref>
        </x14:conditionalFormatting>
        <x14:conditionalFormatting xmlns:xm="http://schemas.microsoft.com/office/excel/2006/main">
          <x14:cfRule type="dataBar" id="{5CE2E015-0C81-4D55-AA62-2EC6A63AD3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F6:F15</xm:sqref>
        </x14:conditionalFormatting>
        <x14:conditionalFormatting xmlns:xm="http://schemas.microsoft.com/office/excel/2006/main">
          <x14:cfRule type="dataBar" id="{8CF8850A-3D33-4E8C-9AC3-019002B8B04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E6:E15</xm:sqref>
        </x14:conditionalFormatting>
        <x14:conditionalFormatting xmlns:xm="http://schemas.microsoft.com/office/excel/2006/main">
          <x14:cfRule type="iconSet" priority="4" id="{BDA24127-A5E0-4F9E-8FB4-FA764355FB81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D6:D15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Productivity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Sanele Ayanda Ndebele</dc:creator>
  <cp:lastModifiedBy>Sanele Ayanda Ndebele</cp:lastModifiedBy>
  <dcterms:created xsi:type="dcterms:W3CDTF">2015-06-05T18:17:20Z</dcterms:created>
  <dcterms:modified xsi:type="dcterms:W3CDTF">2026-07-24T16:21:38Z</dcterms:modified>
</cp:coreProperties>
</file>